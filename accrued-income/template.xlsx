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partment\SS - Accounting and Finance\★Accounting and Finance\OS INVOICE\★★RECONCILE REPORT\2026\0526\Accrue Income\5.Naam\"/>
    </mc:Choice>
  </mc:AlternateContent>
  <xr:revisionPtr revIDLastSave="0" documentId="8_{54D04364-2673-441E-9EAE-9F57652748A9}" xr6:coauthVersionLast="47" xr6:coauthVersionMax="47" xr10:uidLastSave="{00000000-0000-0000-0000-000000000000}"/>
  <bookViews>
    <workbookView xWindow="-116" yWindow="-116" windowWidth="28160" windowHeight="15491" xr2:uid="{43ECD552-7CAF-4746-A616-FB396098EA32}"/>
  </bookViews>
  <sheets>
    <sheet name="Accrue Income" sheetId="1" r:id="rId1"/>
  </sheets>
  <definedNames>
    <definedName name="__IntlFixup" hidden="1">TRUE</definedName>
    <definedName name="__xlfn.IFERROR" hidden="1">#NAME?</definedName>
    <definedName name="_Fill" localSheetId="0" hidden="1">#REF!</definedName>
    <definedName name="_Fill" hidden="1">#REF!</definedName>
    <definedName name="_xlnm._FilterDatabase" localSheetId="0" hidden="1">'Accrue Income'!$A$4:$AQ$33</definedName>
    <definedName name="_xlnm._FilterDatabase" hidden="1">#REF!</definedName>
    <definedName name="_Order1" hidden="1">255</definedName>
    <definedName name="_Regression_Int" hidden="1">1</definedName>
    <definedName name="_Sort" localSheetId="0" hidden="1">#REF!</definedName>
    <definedName name="_Sort" hidden="1">#REF!</definedName>
    <definedName name="_SORT1" localSheetId="0" hidden="1">#REF!</definedName>
    <definedName name="_SORT1" hidden="1">#REF!</definedName>
    <definedName name="AccessDatabase" hidden="1">"C:\WIN95\Desktop\PSFirm_wrkbk.mdb"</definedName>
    <definedName name="asd" localSheetId="0" hidden="1">#REF!</definedName>
    <definedName name="asd" hidden="1">#REF!</definedName>
    <definedName name="BEx3O85IKWARA6NCJOLRBRJFMEWW" localSheetId="0" hidden="1">#REF!</definedName>
    <definedName name="BEx3O85IKWARA6NCJOLRBRJFMEWW" hidden="1">#REF!</definedName>
    <definedName name="BEx5MLQZM68YQSKARVWTTPINFQ2C" localSheetId="0" hidden="1">#REF!</definedName>
    <definedName name="BEx5MLQZM68YQSKARVWTTPINFQ2C" hidden="1">#REF!</definedName>
    <definedName name="BExERWCEBKQRYWRQLYJ4UCMMKTHG" localSheetId="0" hidden="1">#REF!</definedName>
    <definedName name="BExERWCEBKQRYWRQLYJ4UCMMKTHG" hidden="1">#REF!</definedName>
    <definedName name="BExMBYPQDG9AYDQ5E8IECVFREPO6" localSheetId="0" hidden="1">#REF!</definedName>
    <definedName name="BExMBYPQDG9AYDQ5E8IECVFREPO6" hidden="1">#REF!</definedName>
    <definedName name="BExQ9ZLYHWABXAA9NJDW8ZS0UQ9P" localSheetId="0" hidden="1">#REF!</definedName>
    <definedName name="BExQ9ZLYHWABXAA9NJDW8ZS0UQ9P" hidden="1">#REF!</definedName>
    <definedName name="BExTUY9WNSJ91GV8CP0SKJTEIV82" localSheetId="0" hidden="1">#REF!</definedName>
    <definedName name="BExTUY9WNSJ91GV8CP0SKJTEIV82" hidden="1">#REF!</definedName>
    <definedName name="DC" localSheetId="0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C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etail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G" localSheetId="0" hidden="1">#REF!</definedName>
    <definedName name="DG" hidden="1">#REF!</definedName>
    <definedName name="Guidence" hidden="1">#REF!</definedName>
    <definedName name="jyjyjh" localSheetId="0" hidden="1">#REF!</definedName>
    <definedName name="jyjyjh" hidden="1">#REF!</definedName>
    <definedName name="LCD" localSheetId="0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operator" localSheetId="0" hidden="1">#REF!</definedName>
    <definedName name="operator" hidden="1">#REF!</definedName>
    <definedName name="ppp" localSheetId="0" hidden="1">#REF!</definedName>
    <definedName name="ppp" hidden="1">#REF!</definedName>
    <definedName name="SAPBEXdnldView" hidden="1">"3ZEVZ3679OK0HZEQCIHNMYX70"</definedName>
    <definedName name="SAPBEXhrIndnt" hidden="1">"Wide"</definedName>
    <definedName name="SAPBEXrevision" hidden="1">16</definedName>
    <definedName name="SAPBEXsysID" hidden="1">"TSW"</definedName>
    <definedName name="SAPBEXwbID" hidden="1">"F07YXN7KUH5SIWQRK0PU5SEJE"</definedName>
    <definedName name="SAPsysID" hidden="1">"708C5W7SBKP804JT78WJ0JNKI"</definedName>
    <definedName name="SAPwbID" hidden="1">"ARS"</definedName>
    <definedName name="Summary" localSheetId="0" hidden="1">#REF!</definedName>
    <definedName name="Summary" hidden="1">#REF!</definedName>
    <definedName name="wrn.1월속보." localSheetId="0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냉공수지" localSheetId="0" hidden="1">#REF!</definedName>
    <definedName name="냉공수지" hidden="1">#REF!</definedName>
    <definedName name="누계매출" localSheetId="0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localSheetId="0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34" i="1" l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AT5" i="1"/>
  <c r="AJ5" i="1"/>
  <c r="AJ34" i="1" s="1"/>
  <c r="AI5" i="1"/>
  <c r="AI34" i="1" s="1"/>
  <c r="AH5" i="1"/>
  <c r="AH34" i="1" s="1"/>
  <c r="AG5" i="1"/>
  <c r="AG34" i="1" s="1"/>
  <c r="AE5" i="1"/>
  <c r="AF5" i="1" s="1"/>
  <c r="AK5" i="1" l="1"/>
  <c r="AK34" i="1" s="1"/>
  <c r="AF34" i="1"/>
</calcChain>
</file>

<file path=xl/sharedStrings.xml><?xml version="1.0" encoding="utf-8"?>
<sst xmlns="http://schemas.openxmlformats.org/spreadsheetml/2006/main" count="54" uniqueCount="54">
  <si>
    <t>Accrue income</t>
  </si>
  <si>
    <t>Month Pay</t>
  </si>
  <si>
    <t>Project</t>
  </si>
  <si>
    <t>Company name</t>
  </si>
  <si>
    <t>Detail</t>
  </si>
  <si>
    <t xml:space="preserve">Salary </t>
  </si>
  <si>
    <t>Salary and Wages - no fee</t>
  </si>
  <si>
    <t>SSF</t>
  </si>
  <si>
    <t>PVF</t>
  </si>
  <si>
    <t>Heatlh</t>
  </si>
  <si>
    <t>Severance</t>
  </si>
  <si>
    <t>Allowance (Fix)</t>
  </si>
  <si>
    <t>Other Income</t>
  </si>
  <si>
    <t>Overtime</t>
  </si>
  <si>
    <t>Commission</t>
  </si>
  <si>
    <t>Bonus</t>
  </si>
  <si>
    <t>Reimbursement</t>
  </si>
  <si>
    <t>Incentive</t>
  </si>
  <si>
    <t>Check up physical</t>
  </si>
  <si>
    <t>Temp Salary</t>
  </si>
  <si>
    <t>Awards</t>
  </si>
  <si>
    <t>Uniform</t>
  </si>
  <si>
    <t>Travel &amp; Accom</t>
  </si>
  <si>
    <t>Training and 
Lic test fee</t>
  </si>
  <si>
    <t>Event and interview room rental</t>
  </si>
  <si>
    <t>Allowance (Non fixed)</t>
  </si>
  <si>
    <t>Other expenses</t>
  </si>
  <si>
    <t>Fee</t>
  </si>
  <si>
    <t>Unearned Reim</t>
  </si>
  <si>
    <t>Unearned Purchase</t>
  </si>
  <si>
    <t>Unearned Payroll</t>
  </si>
  <si>
    <t>Total Income</t>
  </si>
  <si>
    <t>Accrued Income</t>
  </si>
  <si>
    <t>Accrued 
Service Fee</t>
  </si>
  <si>
    <t>Accrued 
SSF</t>
  </si>
  <si>
    <t>Accrued 
Health</t>
  </si>
  <si>
    <t>Accrued 
Unearned</t>
  </si>
  <si>
    <t>Total Accrued</t>
  </si>
  <si>
    <t>Invoice Type</t>
  </si>
  <si>
    <t>Grouping Accrue</t>
  </si>
  <si>
    <t>Expense 
Month</t>
  </si>
  <si>
    <t>PIC - OSInv</t>
  </si>
  <si>
    <t>Set up in 
Apr'23</t>
  </si>
  <si>
    <t>Reverse in 
May'23</t>
  </si>
  <si>
    <t>Code company</t>
  </si>
  <si>
    <t>LineMemo</t>
  </si>
  <si>
    <t>41120102A</t>
  </si>
  <si>
    <t>41120109</t>
  </si>
  <si>
    <t>21710101A</t>
  </si>
  <si>
    <t>21710103A</t>
  </si>
  <si>
    <t>Normal cycle</t>
  </si>
  <si>
    <t>This Month</t>
  </si>
  <si>
    <t>Naam</t>
  </si>
  <si>
    <t>Accrued Income_0526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</si>
</sst>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name val="Tahoma"/>
      <family val="2"/>
      <scheme val="minor"/>
    </font>
    <font>
      <b/>
      <sz val="11"/>
      <name val="Tahoma"/>
      <family val="2"/>
      <scheme val="minor"/>
    </font>
    <font>
      <b/>
      <sz val="16"/>
      <name val="Tahoma"/>
      <family val="2"/>
      <scheme val="minor"/>
    </font>
    <font>
      <b/>
      <sz val="11"/>
      <color rgb="FFFF0000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43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3" fontId="4" fillId="2" borderId="1" xfId="2" applyFont="1" applyFill="1" applyBorder="1" applyAlignment="1">
      <alignment horizontal="center" vertical="center" wrapText="1"/>
    </xf>
    <xf numFmtId="43" fontId="4" fillId="4" borderId="1" xfId="2" applyFont="1" applyFill="1" applyBorder="1" applyAlignment="1">
      <alignment horizontal="center" vertical="center" wrapText="1"/>
    </xf>
    <xf numFmtId="43" fontId="4" fillId="5" borderId="2" xfId="2" applyFont="1" applyFill="1" applyBorder="1" applyAlignment="1">
      <alignment horizontal="center" vertical="center" wrapText="1"/>
    </xf>
    <xf numFmtId="43" fontId="4" fillId="5" borderId="1" xfId="2" applyFont="1" applyFill="1" applyBorder="1" applyAlignment="1">
      <alignment horizontal="center" vertical="center" wrapText="1"/>
    </xf>
    <xf numFmtId="43" fontId="4" fillId="6" borderId="1" xfId="2" applyFont="1" applyFill="1" applyBorder="1" applyAlignment="1">
      <alignment horizontal="center" vertical="center" wrapText="1"/>
    </xf>
    <xf numFmtId="43" fontId="6" fillId="6" borderId="1" xfId="2" applyFont="1" applyFill="1" applyBorder="1" applyAlignment="1">
      <alignment horizontal="center" vertical="center" wrapText="1"/>
    </xf>
    <xf numFmtId="0" fontId="4" fillId="7" borderId="1" xfId="2" applyNumberFormat="1" applyFont="1" applyFill="1" applyBorder="1" applyAlignment="1">
      <alignment horizontal="center" vertical="center" wrapText="1"/>
    </xf>
    <xf numFmtId="43" fontId="3" fillId="0" borderId="0" xfId="2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2" applyNumberFormat="1" applyFont="1" applyFill="1" applyBorder="1" applyAlignment="1">
      <alignment horizontal="center" vertical="center" wrapText="1"/>
    </xf>
    <xf numFmtId="0" fontId="4" fillId="2" borderId="3" xfId="2" quotePrefix="1" applyNumberFormat="1" applyFont="1" applyFill="1" applyBorder="1" applyAlignment="1">
      <alignment horizontal="center" vertical="center" wrapText="1"/>
    </xf>
    <xf numFmtId="43" fontId="4" fillId="4" borderId="3" xfId="2" applyFont="1" applyFill="1" applyBorder="1" applyAlignment="1">
      <alignment horizontal="center" vertical="center" wrapText="1"/>
    </xf>
    <xf numFmtId="0" fontId="4" fillId="4" borderId="3" xfId="2" applyNumberFormat="1" applyFont="1" applyFill="1" applyBorder="1" applyAlignment="1">
      <alignment horizontal="center" vertical="center" wrapText="1"/>
    </xf>
    <xf numFmtId="0" fontId="4" fillId="5" borderId="4" xfId="2" applyNumberFormat="1" applyFont="1" applyFill="1" applyBorder="1" applyAlignment="1">
      <alignment horizontal="center" vertical="center" wrapText="1"/>
    </xf>
    <xf numFmtId="0" fontId="4" fillId="5" borderId="3" xfId="2" applyNumberFormat="1" applyFont="1" applyFill="1" applyBorder="1" applyAlignment="1">
      <alignment horizontal="center" vertical="center" wrapText="1"/>
    </xf>
    <xf numFmtId="0" fontId="4" fillId="4" borderId="5" xfId="2" applyNumberFormat="1" applyFont="1" applyFill="1" applyBorder="1" applyAlignment="1">
      <alignment horizontal="center" vertical="center" wrapText="1"/>
    </xf>
    <xf numFmtId="43" fontId="4" fillId="5" borderId="5" xfId="2" applyFont="1" applyFill="1" applyBorder="1" applyAlignment="1">
      <alignment horizontal="center" vertical="center" wrapText="1"/>
    </xf>
    <xf numFmtId="43" fontId="4" fillId="6" borderId="3" xfId="2" applyFont="1" applyFill="1" applyBorder="1" applyAlignment="1">
      <alignment horizontal="center" vertical="center" wrapText="1"/>
    </xf>
    <xf numFmtId="43" fontId="6" fillId="6" borderId="3" xfId="2" applyFont="1" applyFill="1" applyBorder="1" applyAlignment="1">
      <alignment horizontal="center" vertical="center" wrapText="1"/>
    </xf>
    <xf numFmtId="0" fontId="4" fillId="7" borderId="3" xfId="2" applyNumberFormat="1" applyFont="1" applyFill="1" applyBorder="1" applyAlignment="1">
      <alignment horizontal="center" vertical="center" wrapText="1"/>
    </xf>
    <xf numFmtId="17" fontId="3" fillId="7" borderId="6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left" vertical="center"/>
    </xf>
    <xf numFmtId="43" fontId="3" fillId="0" borderId="6" xfId="1" applyFont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3" fillId="8" borderId="4" xfId="1" applyFont="1" applyFill="1" applyBorder="1" applyAlignment="1">
      <alignment horizontal="center" vertical="center"/>
    </xf>
    <xf numFmtId="43" fontId="3" fillId="8" borderId="3" xfId="1" applyFont="1" applyFill="1" applyBorder="1" applyAlignment="1">
      <alignment horizontal="center" vertical="center"/>
    </xf>
    <xf numFmtId="43" fontId="3" fillId="8" borderId="5" xfId="1" applyFont="1" applyFill="1" applyBorder="1" applyAlignment="1">
      <alignment horizontal="center" vertical="center"/>
    </xf>
    <xf numFmtId="43" fontId="4" fillId="5" borderId="6" xfId="1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43" fontId="3" fillId="10" borderId="3" xfId="3" applyFont="1" applyFill="1" applyBorder="1" applyAlignment="1">
      <alignment horizontal="center" vertical="center"/>
    </xf>
    <xf numFmtId="17" fontId="3" fillId="10" borderId="3" xfId="3" applyNumberFormat="1" applyFont="1" applyFill="1" applyBorder="1" applyAlignment="1">
      <alignment horizontal="center" vertical="center"/>
    </xf>
    <xf numFmtId="43" fontId="2" fillId="10" borderId="3" xfId="3" applyFont="1" applyFill="1" applyBorder="1" applyAlignment="1">
      <alignment horizontal="center" vertical="center"/>
    </xf>
    <xf numFmtId="0" fontId="3" fillId="0" borderId="3" xfId="3" applyNumberFormat="1" applyFont="1" applyBorder="1" applyAlignment="1">
      <alignment horizontal="center" vertical="center"/>
    </xf>
    <xf numFmtId="0" fontId="3" fillId="9" borderId="6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17" fontId="3" fillId="7" borderId="6" xfId="0" quotePrefix="1" applyNumberFormat="1" applyFont="1" applyFill="1" applyBorder="1" applyAlignment="1">
      <alignment horizontal="center"/>
    </xf>
    <xf numFmtId="0" fontId="3" fillId="7" borderId="6" xfId="0" applyFont="1" applyFill="1" applyBorder="1"/>
    <xf numFmtId="43" fontId="3" fillId="8" borderId="6" xfId="1" applyFont="1" applyFill="1" applyBorder="1" applyAlignment="1">
      <alignment horizontal="center"/>
    </xf>
    <xf numFmtId="43" fontId="4" fillId="2" borderId="6" xfId="1" applyFont="1" applyFill="1" applyBorder="1" applyAlignment="1">
      <alignment horizontal="center"/>
    </xf>
    <xf numFmtId="43" fontId="3" fillId="8" borderId="4" xfId="1" applyFont="1" applyFill="1" applyBorder="1" applyAlignment="1">
      <alignment horizontal="center"/>
    </xf>
    <xf numFmtId="43" fontId="3" fillId="8" borderId="3" xfId="1" applyFont="1" applyFill="1" applyBorder="1" applyAlignment="1">
      <alignment horizontal="center"/>
    </xf>
    <xf numFmtId="43" fontId="3" fillId="8" borderId="5" xfId="1" applyFont="1" applyFill="1" applyBorder="1" applyAlignment="1">
      <alignment horizontal="center"/>
    </xf>
    <xf numFmtId="43" fontId="4" fillId="5" borderId="7" xfId="1" applyFont="1" applyFill="1" applyBorder="1" applyAlignment="1">
      <alignment horizontal="center"/>
    </xf>
    <xf numFmtId="43" fontId="3" fillId="10" borderId="3" xfId="2" applyFont="1" applyFill="1" applyBorder="1" applyAlignment="1">
      <alignment horizontal="center"/>
    </xf>
    <xf numFmtId="17" fontId="3" fillId="10" borderId="3" xfId="2" applyNumberFormat="1" applyFont="1" applyFill="1" applyBorder="1" applyAlignment="1">
      <alignment horizontal="center"/>
    </xf>
    <xf numFmtId="43" fontId="2" fillId="10" borderId="3" xfId="2" applyFont="1" applyFill="1" applyBorder="1" applyAlignment="1">
      <alignment horizontal="center"/>
    </xf>
    <xf numFmtId="0" fontId="3" fillId="0" borderId="3" xfId="2" applyNumberFormat="1" applyFont="1" applyFill="1" applyBorder="1" applyAlignment="1">
      <alignment horizontal="center"/>
    </xf>
    <xf numFmtId="43" fontId="4" fillId="8" borderId="8" xfId="2" applyFont="1" applyFill="1" applyBorder="1" applyAlignment="1">
      <alignment horizontal="center"/>
    </xf>
    <xf numFmtId="43" fontId="4" fillId="8" borderId="8" xfId="2" applyFont="1" applyFill="1" applyBorder="1" applyAlignment="1">
      <alignment horizontal="left"/>
    </xf>
    <xf numFmtId="43" fontId="4" fillId="8" borderId="8" xfId="1" applyFont="1" applyFill="1" applyBorder="1" applyAlignment="1">
      <alignment horizontal="center"/>
    </xf>
    <xf numFmtId="43" fontId="6" fillId="8" borderId="8" xfId="1" applyFont="1" applyFill="1" applyBorder="1" applyAlignment="1">
      <alignment horizontal="center"/>
    </xf>
  </cellXfs>
  <cellStyles count="4">
    <cellStyle name="Comma" xfId="1" builtinId="3"/>
    <cellStyle name="Comma 2" xfId="2" xr:uid="{75CFFA7C-EB7D-4722-8E44-1900F811EB17}"/>
    <cellStyle name="Comma 2 2 8" xfId="3" xr:uid="{8AFFFA2A-D9FA-42B2-A6DA-92C06FF17A2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87B4-9AEA-46C8-898B-CDEDA3A0F4E8}">
  <sheetPr>
    <tabColor rgb="FFFFFF00"/>
    <pageSetUpPr fitToPage="1"/>
  </sheetPr>
  <dimension ref="A1:AT35"/>
  <sheetViews>
    <sheetView tabSelected="1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L5" sqref="AL5"/>
    </sheetView>
  </sheetViews>
  <sheetFormatPr defaultColWidth="18.75" defaultRowHeight="18" customHeight="1" x14ac:dyDescent="0.2"/>
  <cols>
    <col min="1" max="1" width="12.75" style="1" customWidth="1"/>
    <col min="2" max="2" width="24.375" style="2" customWidth="1"/>
    <col min="3" max="3" width="26.5" style="2" customWidth="1"/>
    <col min="4" max="4" width="32.25" style="2" customWidth="1"/>
    <col min="5" max="36" width="18.75" style="1" customWidth="1"/>
    <col min="37" max="37" width="18.75" style="3" customWidth="1"/>
    <col min="38" max="38" width="12.75" style="1" customWidth="1"/>
    <col min="39" max="39" width="23.25" style="1" customWidth="1"/>
    <col min="40" max="40" width="14.75" style="1" customWidth="1"/>
    <col min="41" max="41" width="12.75" style="5" customWidth="1"/>
    <col min="42" max="43" width="15.75" style="4" customWidth="1"/>
    <col min="44" max="45" width="45.125" style="2" customWidth="1"/>
    <col min="46" max="16384" width="18.75" style="1"/>
  </cols>
  <sheetData>
    <row r="1" spans="1:46" ht="18" customHeight="1" x14ac:dyDescent="0.2">
      <c r="AM1" s="4"/>
    </row>
    <row r="2" spans="1:46" ht="18" customHeight="1" x14ac:dyDescent="0.3">
      <c r="A2" s="6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7"/>
      <c r="AF2" s="2"/>
      <c r="AG2" s="2"/>
      <c r="AH2" s="2"/>
      <c r="AI2" s="2"/>
      <c r="AJ2" s="2"/>
      <c r="AK2" s="7"/>
    </row>
    <row r="3" spans="1:46" s="17" customFormat="1" ht="49.85" customHeight="1" x14ac:dyDescent="0.2">
      <c r="A3" s="8" t="s">
        <v>1</v>
      </c>
      <c r="B3" s="8" t="s">
        <v>2</v>
      </c>
      <c r="C3" s="9" t="s">
        <v>3</v>
      </c>
      <c r="D3" s="8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0" t="s">
        <v>26</v>
      </c>
      <c r="AA3" s="10" t="s">
        <v>27</v>
      </c>
      <c r="AB3" s="11" t="s">
        <v>28</v>
      </c>
      <c r="AC3" s="11" t="s">
        <v>29</v>
      </c>
      <c r="AD3" s="11" t="s">
        <v>30</v>
      </c>
      <c r="AE3" s="8" t="s">
        <v>31</v>
      </c>
      <c r="AF3" s="12" t="s">
        <v>32</v>
      </c>
      <c r="AG3" s="13" t="s">
        <v>33</v>
      </c>
      <c r="AH3" s="13" t="s">
        <v>34</v>
      </c>
      <c r="AI3" s="13" t="s">
        <v>35</v>
      </c>
      <c r="AJ3" s="11" t="s">
        <v>36</v>
      </c>
      <c r="AK3" s="13" t="s">
        <v>37</v>
      </c>
      <c r="AL3" s="14" t="s">
        <v>38</v>
      </c>
      <c r="AM3" s="14" t="s">
        <v>39</v>
      </c>
      <c r="AN3" s="14" t="s">
        <v>40</v>
      </c>
      <c r="AO3" s="15" t="s">
        <v>41</v>
      </c>
      <c r="AP3" s="16" t="s">
        <v>42</v>
      </c>
      <c r="AQ3" s="16" t="s">
        <v>43</v>
      </c>
      <c r="AR3" s="8" t="s">
        <v>44</v>
      </c>
      <c r="AS3" s="8" t="s">
        <v>45</v>
      </c>
    </row>
    <row r="4" spans="1:46" s="17" customFormat="1" ht="18" customHeight="1" x14ac:dyDescent="0.2">
      <c r="A4" s="18"/>
      <c r="B4" s="18"/>
      <c r="C4" s="19"/>
      <c r="D4" s="18"/>
      <c r="E4" s="20">
        <v>41120102</v>
      </c>
      <c r="F4" s="21" t="s">
        <v>46</v>
      </c>
      <c r="G4" s="20">
        <v>41120103</v>
      </c>
      <c r="H4" s="20">
        <v>41120104</v>
      </c>
      <c r="I4" s="20">
        <v>41120105</v>
      </c>
      <c r="J4" s="20">
        <v>41120106</v>
      </c>
      <c r="K4" s="20">
        <v>41120107</v>
      </c>
      <c r="L4" s="20">
        <v>41120108</v>
      </c>
      <c r="M4" s="21" t="s">
        <v>47</v>
      </c>
      <c r="N4" s="20">
        <v>41120110</v>
      </c>
      <c r="O4" s="20">
        <v>41120111</v>
      </c>
      <c r="P4" s="20">
        <v>41120112</v>
      </c>
      <c r="Q4" s="20">
        <v>41120113</v>
      </c>
      <c r="R4" s="20">
        <v>41120114</v>
      </c>
      <c r="S4" s="20">
        <v>41120115</v>
      </c>
      <c r="T4" s="20">
        <v>41120116</v>
      </c>
      <c r="U4" s="20">
        <v>41120117</v>
      </c>
      <c r="V4" s="20">
        <v>41120118</v>
      </c>
      <c r="W4" s="20">
        <v>41120119</v>
      </c>
      <c r="X4" s="20">
        <v>41120120</v>
      </c>
      <c r="Y4" s="20">
        <v>41120121</v>
      </c>
      <c r="Z4" s="20">
        <v>41120122</v>
      </c>
      <c r="AA4" s="20">
        <v>41120101</v>
      </c>
      <c r="AB4" s="22" t="s">
        <v>48</v>
      </c>
      <c r="AC4" s="23" t="s">
        <v>49</v>
      </c>
      <c r="AD4" s="23">
        <v>21710102</v>
      </c>
      <c r="AE4" s="18"/>
      <c r="AF4" s="24">
        <v>11510102</v>
      </c>
      <c r="AG4" s="25">
        <v>11510110</v>
      </c>
      <c r="AH4" s="25">
        <v>11510111</v>
      </c>
      <c r="AI4" s="25">
        <v>11510112</v>
      </c>
      <c r="AJ4" s="26">
        <v>11510113</v>
      </c>
      <c r="AK4" s="27"/>
      <c r="AL4" s="28"/>
      <c r="AM4" s="28"/>
      <c r="AN4" s="28"/>
      <c r="AO4" s="29"/>
      <c r="AP4" s="30"/>
      <c r="AQ4" s="30"/>
      <c r="AR4" s="18"/>
      <c r="AS4" s="18"/>
    </row>
    <row r="5" spans="1:46" s="45" customFormat="1" ht="18" customHeight="1" x14ac:dyDescent="0.2">
      <c r="A5" s="31"/>
      <c r="B5" s="32"/>
      <c r="C5" s="32"/>
      <c r="D5" s="32"/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/>
      <c r="AC5" s="33"/>
      <c r="AD5" s="33"/>
      <c r="AE5" s="34">
        <f t="shared" ref="AE5" si="0">SUM(E5:AD5)</f>
        <v>0</v>
      </c>
      <c r="AF5" s="35">
        <f>AE5-AA5-AB5-AC5-AD5-G5-I5</f>
        <v>0</v>
      </c>
      <c r="AG5" s="36">
        <f t="shared" ref="AG5" si="1">+AA5</f>
        <v>0</v>
      </c>
      <c r="AH5" s="36">
        <f t="shared" ref="AH5" si="2">+G5</f>
        <v>0</v>
      </c>
      <c r="AI5" s="36">
        <f t="shared" ref="AI5" si="3">+I5</f>
        <v>0</v>
      </c>
      <c r="AJ5" s="37">
        <f>+AB5+AC5+AD5</f>
        <v>0</v>
      </c>
      <c r="AK5" s="38">
        <f t="shared" ref="AK5" si="4">SUM(AF5:AJ5)</f>
        <v>0</v>
      </c>
      <c r="AL5" s="39"/>
      <c r="AM5" s="40" t="s">
        <v>50</v>
      </c>
      <c r="AN5" s="41" t="s">
        <v>51</v>
      </c>
      <c r="AO5" s="42" t="s">
        <v>52</v>
      </c>
      <c r="AP5" s="43"/>
      <c r="AQ5" s="43"/>
      <c r="AR5" s="44"/>
      <c r="AS5" s="44" t="s">
        <v>53</v>
      </c>
      <c r="AT5" s="44" t="str">
        <f t="shared" ref="AT5" si="5">B5&amp;" / Please approve accrue income 0526"</f>
        <v xml:space="preserve"> / Please approve accrue income 0526</v>
      </c>
    </row>
    <row r="6" spans="1:46" s="45" customFormat="1" ht="18" customHeight="1" x14ac:dyDescent="0.2">
      <c r="A6" s="31"/>
      <c r="B6" s="32"/>
      <c r="C6" s="32"/>
      <c r="D6" s="32"/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/>
      <c r="AC6" s="33"/>
      <c r="AD6" s="33"/>
      <c r="AE6" s="34"/>
      <c r="AF6" s="35"/>
      <c r="AG6" s="36"/>
      <c r="AH6" s="36"/>
      <c r="AI6" s="36"/>
      <c r="AJ6" s="37"/>
      <c r="AK6" s="38"/>
      <c r="AL6" s="39"/>
      <c r="AM6" s="40"/>
      <c r="AN6" s="41"/>
      <c r="AO6" s="42"/>
      <c r="AP6" s="43"/>
      <c r="AQ6" s="43"/>
      <c r="AR6" s="44"/>
      <c r="AS6" s="44"/>
      <c r="AT6" s="44"/>
    </row>
    <row r="7" spans="1:46" s="45" customFormat="1" ht="18" customHeight="1" x14ac:dyDescent="0.2">
      <c r="A7" s="31"/>
      <c r="B7" s="32"/>
      <c r="C7" s="32"/>
      <c r="D7" s="32"/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/>
      <c r="AC7" s="33"/>
      <c r="AD7" s="33"/>
      <c r="AE7" s="34"/>
      <c r="AF7" s="35"/>
      <c r="AG7" s="36"/>
      <c r="AH7" s="36"/>
      <c r="AI7" s="36"/>
      <c r="AJ7" s="37"/>
      <c r="AK7" s="38"/>
      <c r="AL7" s="39"/>
      <c r="AM7" s="40"/>
      <c r="AN7" s="41"/>
      <c r="AO7" s="42"/>
      <c r="AP7" s="43"/>
      <c r="AQ7" s="43"/>
      <c r="AR7" s="44"/>
      <c r="AS7" s="44"/>
      <c r="AT7" s="44"/>
    </row>
    <row r="8" spans="1:46" s="45" customFormat="1" ht="18" customHeight="1" x14ac:dyDescent="0.2">
      <c r="A8" s="31"/>
      <c r="B8" s="32"/>
      <c r="C8" s="32"/>
      <c r="D8" s="32"/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/>
      <c r="AC8" s="33"/>
      <c r="AD8" s="33"/>
      <c r="AE8" s="34"/>
      <c r="AF8" s="35"/>
      <c r="AG8" s="36"/>
      <c r="AH8" s="36"/>
      <c r="AI8" s="36"/>
      <c r="AJ8" s="37"/>
      <c r="AK8" s="38"/>
      <c r="AL8" s="39"/>
      <c r="AM8" s="40"/>
      <c r="AN8" s="41"/>
      <c r="AO8" s="42"/>
      <c r="AP8" s="43"/>
      <c r="AQ8" s="43"/>
      <c r="AR8" s="44"/>
      <c r="AS8" s="44"/>
      <c r="AT8" s="44"/>
    </row>
    <row r="9" spans="1:46" s="45" customFormat="1" ht="18" customHeight="1" x14ac:dyDescent="0.2">
      <c r="A9" s="31"/>
      <c r="B9" s="32"/>
      <c r="C9" s="32"/>
      <c r="D9" s="32"/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/>
      <c r="AC9" s="33"/>
      <c r="AD9" s="33"/>
      <c r="AE9" s="34"/>
      <c r="AF9" s="35"/>
      <c r="AG9" s="36"/>
      <c r="AH9" s="36"/>
      <c r="AI9" s="36"/>
      <c r="AJ9" s="37"/>
      <c r="AK9" s="38"/>
      <c r="AL9" s="39"/>
      <c r="AM9" s="40"/>
      <c r="AN9" s="41"/>
      <c r="AO9" s="42"/>
      <c r="AP9" s="43"/>
      <c r="AQ9" s="43"/>
      <c r="AR9" s="44"/>
      <c r="AS9" s="44"/>
      <c r="AT9" s="44"/>
    </row>
    <row r="10" spans="1:46" s="45" customFormat="1" ht="18" customHeight="1" x14ac:dyDescent="0.2">
      <c r="A10" s="31"/>
      <c r="B10" s="32"/>
      <c r="C10" s="32"/>
      <c r="D10" s="32"/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/>
      <c r="AC10" s="33"/>
      <c r="AD10" s="33"/>
      <c r="AE10" s="34"/>
      <c r="AF10" s="35"/>
      <c r="AG10" s="36"/>
      <c r="AH10" s="36"/>
      <c r="AI10" s="36"/>
      <c r="AJ10" s="37"/>
      <c r="AK10" s="38"/>
      <c r="AL10" s="39"/>
      <c r="AM10" s="40"/>
      <c r="AN10" s="41"/>
      <c r="AO10" s="42"/>
      <c r="AP10" s="43"/>
      <c r="AQ10" s="43"/>
      <c r="AR10" s="44"/>
      <c r="AS10" s="44"/>
      <c r="AT10" s="44"/>
    </row>
    <row r="11" spans="1:46" s="45" customFormat="1" ht="18" customHeight="1" x14ac:dyDescent="0.2">
      <c r="A11" s="31"/>
      <c r="B11" s="32"/>
      <c r="C11" s="32"/>
      <c r="D11" s="32"/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/>
      <c r="AC11" s="33"/>
      <c r="AD11" s="33"/>
      <c r="AE11" s="34"/>
      <c r="AF11" s="35"/>
      <c r="AG11" s="36"/>
      <c r="AH11" s="36"/>
      <c r="AI11" s="36"/>
      <c r="AJ11" s="37"/>
      <c r="AK11" s="38"/>
      <c r="AL11" s="39"/>
      <c r="AM11" s="40"/>
      <c r="AN11" s="41"/>
      <c r="AO11" s="42"/>
      <c r="AP11" s="43"/>
      <c r="AQ11" s="43"/>
      <c r="AR11" s="44"/>
      <c r="AS11" s="44"/>
      <c r="AT11" s="44"/>
    </row>
    <row r="12" spans="1:46" s="45" customFormat="1" ht="18" customHeight="1" x14ac:dyDescent="0.2">
      <c r="A12" s="31"/>
      <c r="B12" s="32"/>
      <c r="C12" s="32"/>
      <c r="D12" s="32"/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/>
      <c r="AC12" s="33"/>
      <c r="AD12" s="33"/>
      <c r="AE12" s="34"/>
      <c r="AF12" s="35"/>
      <c r="AG12" s="36"/>
      <c r="AH12" s="36"/>
      <c r="AI12" s="36"/>
      <c r="AJ12" s="37"/>
      <c r="AK12" s="38"/>
      <c r="AL12" s="39"/>
      <c r="AM12" s="40"/>
      <c r="AN12" s="41"/>
      <c r="AO12" s="42"/>
      <c r="AP12" s="43"/>
      <c r="AQ12" s="43"/>
      <c r="AR12" s="44"/>
      <c r="AS12" s="44"/>
      <c r="AT12" s="44"/>
    </row>
    <row r="13" spans="1:46" s="45" customFormat="1" ht="18" customHeight="1" x14ac:dyDescent="0.2">
      <c r="A13" s="31"/>
      <c r="B13" s="32"/>
      <c r="C13" s="32"/>
      <c r="D13" s="32"/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/>
      <c r="AC13" s="33"/>
      <c r="AD13" s="33"/>
      <c r="AE13" s="34"/>
      <c r="AF13" s="35"/>
      <c r="AG13" s="36"/>
      <c r="AH13" s="36"/>
      <c r="AI13" s="36"/>
      <c r="AJ13" s="37"/>
      <c r="AK13" s="38"/>
      <c r="AL13" s="39"/>
      <c r="AM13" s="40"/>
      <c r="AN13" s="41"/>
      <c r="AO13" s="42"/>
      <c r="AP13" s="43"/>
      <c r="AQ13" s="43"/>
      <c r="AR13" s="44"/>
      <c r="AS13" s="44"/>
      <c r="AT13" s="44"/>
    </row>
    <row r="14" spans="1:46" s="45" customFormat="1" ht="18" customHeight="1" x14ac:dyDescent="0.2">
      <c r="A14" s="31"/>
      <c r="B14" s="32"/>
      <c r="C14" s="32"/>
      <c r="D14" s="32"/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/>
      <c r="AC14" s="33"/>
      <c r="AD14" s="33"/>
      <c r="AE14" s="34"/>
      <c r="AF14" s="35"/>
      <c r="AG14" s="36"/>
      <c r="AH14" s="36"/>
      <c r="AI14" s="36"/>
      <c r="AJ14" s="37"/>
      <c r="AK14" s="38"/>
      <c r="AL14" s="39"/>
      <c r="AM14" s="40"/>
      <c r="AN14" s="41"/>
      <c r="AO14" s="42"/>
      <c r="AP14" s="43"/>
      <c r="AQ14" s="43"/>
      <c r="AR14" s="44"/>
      <c r="AS14" s="44"/>
      <c r="AT14" s="44"/>
    </row>
    <row r="15" spans="1:46" s="45" customFormat="1" ht="18" customHeight="1" x14ac:dyDescent="0.2">
      <c r="A15" s="31"/>
      <c r="B15" s="32"/>
      <c r="C15" s="32"/>
      <c r="D15" s="32"/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/>
      <c r="AC15" s="33"/>
      <c r="AD15" s="33"/>
      <c r="AE15" s="34"/>
      <c r="AF15" s="35"/>
      <c r="AG15" s="36"/>
      <c r="AH15" s="36"/>
      <c r="AI15" s="36"/>
      <c r="AJ15" s="37"/>
      <c r="AK15" s="38"/>
      <c r="AL15" s="39"/>
      <c r="AM15" s="40"/>
      <c r="AN15" s="41"/>
      <c r="AO15" s="42"/>
      <c r="AP15" s="43"/>
      <c r="AQ15" s="43"/>
      <c r="AR15" s="44"/>
      <c r="AS15" s="44"/>
      <c r="AT15" s="44"/>
    </row>
    <row r="16" spans="1:46" s="45" customFormat="1" ht="18" customHeight="1" x14ac:dyDescent="0.2">
      <c r="A16" s="31"/>
      <c r="B16" s="32"/>
      <c r="C16" s="32"/>
      <c r="D16" s="32"/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/>
      <c r="AC16" s="33"/>
      <c r="AD16" s="33"/>
      <c r="AE16" s="34"/>
      <c r="AF16" s="35"/>
      <c r="AG16" s="36"/>
      <c r="AH16" s="36"/>
      <c r="AI16" s="36"/>
      <c r="AJ16" s="37"/>
      <c r="AK16" s="38"/>
      <c r="AL16" s="39"/>
      <c r="AM16" s="40"/>
      <c r="AN16" s="41"/>
      <c r="AO16" s="42"/>
      <c r="AP16" s="43"/>
      <c r="AQ16" s="43"/>
      <c r="AR16" s="44"/>
      <c r="AS16" s="44"/>
      <c r="AT16" s="44"/>
    </row>
    <row r="17" spans="1:46" s="45" customFormat="1" ht="18" customHeight="1" x14ac:dyDescent="0.2">
      <c r="A17" s="31"/>
      <c r="B17" s="32"/>
      <c r="C17" s="32"/>
      <c r="D17" s="32"/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/>
      <c r="AC17" s="33"/>
      <c r="AD17" s="33"/>
      <c r="AE17" s="34"/>
      <c r="AF17" s="35"/>
      <c r="AG17" s="36"/>
      <c r="AH17" s="36"/>
      <c r="AI17" s="36"/>
      <c r="AJ17" s="37"/>
      <c r="AK17" s="38"/>
      <c r="AL17" s="39"/>
      <c r="AM17" s="40"/>
      <c r="AN17" s="41"/>
      <c r="AO17" s="42"/>
      <c r="AP17" s="43"/>
      <c r="AQ17" s="43"/>
      <c r="AR17" s="44"/>
      <c r="AS17" s="44"/>
      <c r="AT17" s="44"/>
    </row>
    <row r="18" spans="1:46" s="45" customFormat="1" ht="18" customHeight="1" x14ac:dyDescent="0.2">
      <c r="A18" s="31"/>
      <c r="B18" s="32"/>
      <c r="C18" s="32"/>
      <c r="D18" s="32"/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/>
      <c r="AC18" s="33"/>
      <c r="AD18" s="33"/>
      <c r="AE18" s="34"/>
      <c r="AF18" s="35"/>
      <c r="AG18" s="36"/>
      <c r="AH18" s="36"/>
      <c r="AI18" s="36"/>
      <c r="AJ18" s="37"/>
      <c r="AK18" s="38"/>
      <c r="AL18" s="39"/>
      <c r="AM18" s="40"/>
      <c r="AN18" s="41"/>
      <c r="AO18" s="42"/>
      <c r="AP18" s="43"/>
      <c r="AQ18" s="43"/>
      <c r="AR18" s="44"/>
      <c r="AS18" s="44"/>
      <c r="AT18" s="44"/>
    </row>
    <row r="19" spans="1:46" s="45" customFormat="1" ht="18" customHeight="1" x14ac:dyDescent="0.2">
      <c r="A19" s="31"/>
      <c r="B19" s="32"/>
      <c r="C19" s="32"/>
      <c r="D19" s="32"/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/>
      <c r="AC19" s="33"/>
      <c r="AD19" s="33"/>
      <c r="AE19" s="34"/>
      <c r="AF19" s="35"/>
      <c r="AG19" s="36"/>
      <c r="AH19" s="36"/>
      <c r="AI19" s="36"/>
      <c r="AJ19" s="37"/>
      <c r="AK19" s="38"/>
      <c r="AL19" s="39"/>
      <c r="AM19" s="40"/>
      <c r="AN19" s="41"/>
      <c r="AO19" s="42"/>
      <c r="AP19" s="43"/>
      <c r="AQ19" s="43"/>
      <c r="AR19" s="44"/>
      <c r="AS19" s="44"/>
      <c r="AT19" s="44"/>
    </row>
    <row r="20" spans="1:46" s="45" customFormat="1" ht="18" customHeight="1" x14ac:dyDescent="0.2">
      <c r="A20" s="31"/>
      <c r="B20" s="32"/>
      <c r="C20" s="32"/>
      <c r="D20" s="32"/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/>
      <c r="AC20" s="33"/>
      <c r="AD20" s="33"/>
      <c r="AE20" s="34"/>
      <c r="AF20" s="35"/>
      <c r="AG20" s="36"/>
      <c r="AH20" s="36"/>
      <c r="AI20" s="36"/>
      <c r="AJ20" s="37"/>
      <c r="AK20" s="38"/>
      <c r="AL20" s="39"/>
      <c r="AM20" s="40"/>
      <c r="AN20" s="41"/>
      <c r="AO20" s="42"/>
      <c r="AP20" s="43"/>
      <c r="AQ20" s="43"/>
      <c r="AR20" s="44"/>
      <c r="AS20" s="44"/>
      <c r="AT20" s="44"/>
    </row>
    <row r="21" spans="1:46" s="45" customFormat="1" ht="18" customHeight="1" x14ac:dyDescent="0.2">
      <c r="A21" s="31"/>
      <c r="B21" s="32"/>
      <c r="C21" s="32"/>
      <c r="D21" s="32"/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/>
      <c r="AC21" s="33"/>
      <c r="AD21" s="33"/>
      <c r="AE21" s="34"/>
      <c r="AF21" s="35"/>
      <c r="AG21" s="36"/>
      <c r="AH21" s="36"/>
      <c r="AI21" s="36"/>
      <c r="AJ21" s="37"/>
      <c r="AK21" s="38"/>
      <c r="AL21" s="39"/>
      <c r="AM21" s="40"/>
      <c r="AN21" s="41"/>
      <c r="AO21" s="42"/>
      <c r="AP21" s="43"/>
      <c r="AQ21" s="43"/>
      <c r="AR21" s="44"/>
      <c r="AS21" s="44"/>
      <c r="AT21" s="44"/>
    </row>
    <row r="22" spans="1:46" s="45" customFormat="1" ht="18" customHeight="1" x14ac:dyDescent="0.2">
      <c r="A22" s="31"/>
      <c r="B22" s="32"/>
      <c r="C22" s="32"/>
      <c r="D22" s="32"/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/>
      <c r="AC22" s="33"/>
      <c r="AD22" s="33"/>
      <c r="AE22" s="34"/>
      <c r="AF22" s="35"/>
      <c r="AG22" s="36"/>
      <c r="AH22" s="36"/>
      <c r="AI22" s="36"/>
      <c r="AJ22" s="37"/>
      <c r="AK22" s="38"/>
      <c r="AL22" s="39"/>
      <c r="AM22" s="40"/>
      <c r="AN22" s="41"/>
      <c r="AO22" s="42"/>
      <c r="AP22" s="43"/>
      <c r="AQ22" s="43"/>
      <c r="AR22" s="44"/>
      <c r="AS22" s="44"/>
      <c r="AT22" s="44"/>
    </row>
    <row r="23" spans="1:46" s="45" customFormat="1" ht="18" customHeight="1" x14ac:dyDescent="0.2">
      <c r="A23" s="31"/>
      <c r="B23" s="32"/>
      <c r="C23" s="32"/>
      <c r="D23" s="32"/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/>
      <c r="AC23" s="33"/>
      <c r="AD23" s="33"/>
      <c r="AE23" s="34"/>
      <c r="AF23" s="35"/>
      <c r="AG23" s="36"/>
      <c r="AH23" s="36"/>
      <c r="AI23" s="36"/>
      <c r="AJ23" s="37"/>
      <c r="AK23" s="38"/>
      <c r="AL23" s="39"/>
      <c r="AM23" s="40"/>
      <c r="AN23" s="41"/>
      <c r="AO23" s="42"/>
      <c r="AP23" s="43"/>
      <c r="AQ23" s="43"/>
      <c r="AR23" s="44"/>
      <c r="AS23" s="44"/>
      <c r="AT23" s="44"/>
    </row>
    <row r="24" spans="1:46" s="45" customFormat="1" ht="18" customHeight="1" x14ac:dyDescent="0.2">
      <c r="A24" s="31"/>
      <c r="B24" s="32"/>
      <c r="C24" s="32"/>
      <c r="D24" s="32"/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/>
      <c r="AC24" s="33"/>
      <c r="AD24" s="33"/>
      <c r="AE24" s="34"/>
      <c r="AF24" s="35"/>
      <c r="AG24" s="36"/>
      <c r="AH24" s="36"/>
      <c r="AI24" s="36"/>
      <c r="AJ24" s="37"/>
      <c r="AK24" s="38"/>
      <c r="AL24" s="39"/>
      <c r="AM24" s="40"/>
      <c r="AN24" s="41"/>
      <c r="AO24" s="42"/>
      <c r="AP24" s="43"/>
      <c r="AQ24" s="43"/>
      <c r="AR24" s="44"/>
      <c r="AS24" s="44"/>
      <c r="AT24" s="44"/>
    </row>
    <row r="25" spans="1:46" s="45" customFormat="1" ht="18" customHeight="1" x14ac:dyDescent="0.2">
      <c r="A25" s="31"/>
      <c r="B25" s="32"/>
      <c r="C25" s="32"/>
      <c r="D25" s="32"/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/>
      <c r="AC25" s="33"/>
      <c r="AD25" s="33"/>
      <c r="AE25" s="34"/>
      <c r="AF25" s="35"/>
      <c r="AG25" s="36"/>
      <c r="AH25" s="36"/>
      <c r="AI25" s="36"/>
      <c r="AJ25" s="37"/>
      <c r="AK25" s="38"/>
      <c r="AL25" s="39"/>
      <c r="AM25" s="40"/>
      <c r="AN25" s="41"/>
      <c r="AO25" s="42"/>
      <c r="AP25" s="43"/>
      <c r="AQ25" s="43"/>
      <c r="AR25" s="44"/>
      <c r="AS25" s="44"/>
      <c r="AT25" s="44"/>
    </row>
    <row r="26" spans="1:46" s="45" customFormat="1" ht="18" customHeight="1" x14ac:dyDescent="0.2">
      <c r="A26" s="31"/>
      <c r="B26" s="32"/>
      <c r="C26" s="32"/>
      <c r="D26" s="32"/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/>
      <c r="AC26" s="33"/>
      <c r="AD26" s="33"/>
      <c r="AE26" s="34"/>
      <c r="AF26" s="35"/>
      <c r="AG26" s="36"/>
      <c r="AH26" s="36"/>
      <c r="AI26" s="36"/>
      <c r="AJ26" s="37"/>
      <c r="AK26" s="38"/>
      <c r="AL26" s="39"/>
      <c r="AM26" s="40"/>
      <c r="AN26" s="41"/>
      <c r="AO26" s="42"/>
      <c r="AP26" s="43"/>
      <c r="AQ26" s="43"/>
      <c r="AR26" s="44"/>
      <c r="AS26" s="44"/>
      <c r="AT26" s="44"/>
    </row>
    <row r="27" spans="1:46" s="45" customFormat="1" ht="18" customHeight="1" x14ac:dyDescent="0.2">
      <c r="A27" s="31"/>
      <c r="B27" s="32"/>
      <c r="C27" s="32"/>
      <c r="D27" s="32"/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/>
      <c r="AC27" s="33"/>
      <c r="AD27" s="33"/>
      <c r="AE27" s="34"/>
      <c r="AF27" s="35"/>
      <c r="AG27" s="36"/>
      <c r="AH27" s="36"/>
      <c r="AI27" s="36"/>
      <c r="AJ27" s="37"/>
      <c r="AK27" s="38"/>
      <c r="AL27" s="39"/>
      <c r="AM27" s="40"/>
      <c r="AN27" s="41"/>
      <c r="AO27" s="42"/>
      <c r="AP27" s="43"/>
      <c r="AQ27" s="43"/>
      <c r="AR27" s="44"/>
      <c r="AS27" s="44"/>
      <c r="AT27" s="44"/>
    </row>
    <row r="28" spans="1:46" s="45" customFormat="1" ht="18" customHeight="1" x14ac:dyDescent="0.2">
      <c r="A28" s="31"/>
      <c r="B28" s="32"/>
      <c r="C28" s="32"/>
      <c r="D28" s="32"/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/>
      <c r="AC28" s="33"/>
      <c r="AD28" s="33"/>
      <c r="AE28" s="34"/>
      <c r="AF28" s="35"/>
      <c r="AG28" s="36"/>
      <c r="AH28" s="36"/>
      <c r="AI28" s="36"/>
      <c r="AJ28" s="37"/>
      <c r="AK28" s="38"/>
      <c r="AL28" s="39"/>
      <c r="AM28" s="40"/>
      <c r="AN28" s="41"/>
      <c r="AO28" s="42"/>
      <c r="AP28" s="43"/>
      <c r="AQ28" s="43"/>
      <c r="AR28" s="44"/>
      <c r="AS28" s="44"/>
      <c r="AT28" s="44"/>
    </row>
    <row r="29" spans="1:46" s="45" customFormat="1" ht="18" customHeight="1" x14ac:dyDescent="0.2">
      <c r="A29" s="31"/>
      <c r="B29" s="32"/>
      <c r="C29" s="32"/>
      <c r="D29" s="32"/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/>
      <c r="AC29" s="33"/>
      <c r="AD29" s="33"/>
      <c r="AE29" s="34"/>
      <c r="AF29" s="35"/>
      <c r="AG29" s="36"/>
      <c r="AH29" s="36"/>
      <c r="AI29" s="36"/>
      <c r="AJ29" s="37"/>
      <c r="AK29" s="38"/>
      <c r="AL29" s="39"/>
      <c r="AM29" s="40"/>
      <c r="AN29" s="41"/>
      <c r="AO29" s="42"/>
      <c r="AP29" s="43"/>
      <c r="AQ29" s="43"/>
      <c r="AR29" s="44"/>
      <c r="AS29" s="44"/>
      <c r="AT29" s="44"/>
    </row>
    <row r="30" spans="1:46" s="45" customFormat="1" ht="18" customHeight="1" x14ac:dyDescent="0.2">
      <c r="A30" s="31"/>
      <c r="B30" s="32"/>
      <c r="C30" s="32"/>
      <c r="D30" s="32"/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/>
      <c r="AC30" s="33"/>
      <c r="AD30" s="33"/>
      <c r="AE30" s="34"/>
      <c r="AF30" s="35"/>
      <c r="AG30" s="36"/>
      <c r="AH30" s="36"/>
      <c r="AI30" s="36"/>
      <c r="AJ30" s="37"/>
      <c r="AK30" s="38"/>
      <c r="AL30" s="39"/>
      <c r="AM30" s="40"/>
      <c r="AN30" s="41"/>
      <c r="AO30" s="42"/>
      <c r="AP30" s="43"/>
      <c r="AQ30" s="43"/>
      <c r="AR30" s="44"/>
      <c r="AS30" s="44"/>
      <c r="AT30" s="44"/>
    </row>
    <row r="31" spans="1:46" s="45" customFormat="1" ht="18" customHeight="1" x14ac:dyDescent="0.2">
      <c r="A31" s="31"/>
      <c r="B31" s="32"/>
      <c r="C31" s="32"/>
      <c r="D31" s="32"/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/>
      <c r="AC31" s="33"/>
      <c r="AD31" s="33"/>
      <c r="AE31" s="34"/>
      <c r="AF31" s="35"/>
      <c r="AG31" s="36"/>
      <c r="AH31" s="36"/>
      <c r="AI31" s="36"/>
      <c r="AJ31" s="37"/>
      <c r="AK31" s="38"/>
      <c r="AL31" s="39"/>
      <c r="AM31" s="40"/>
      <c r="AN31" s="41"/>
      <c r="AO31" s="42"/>
      <c r="AP31" s="43"/>
      <c r="AQ31" s="43"/>
      <c r="AR31" s="44"/>
      <c r="AS31" s="44"/>
      <c r="AT31" s="44"/>
    </row>
    <row r="32" spans="1:46" s="45" customFormat="1" ht="18" customHeight="1" x14ac:dyDescent="0.2">
      <c r="A32" s="31"/>
      <c r="B32" s="32"/>
      <c r="C32" s="32"/>
      <c r="D32" s="32"/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/>
      <c r="AC32" s="33"/>
      <c r="AD32" s="33"/>
      <c r="AE32" s="34"/>
      <c r="AF32" s="35"/>
      <c r="AG32" s="36"/>
      <c r="AH32" s="36"/>
      <c r="AI32" s="36"/>
      <c r="AJ32" s="37"/>
      <c r="AK32" s="38"/>
      <c r="AL32" s="39"/>
      <c r="AM32" s="40"/>
      <c r="AN32" s="41"/>
      <c r="AO32" s="42"/>
      <c r="AP32" s="43"/>
      <c r="AQ32" s="43"/>
      <c r="AR32" s="44"/>
      <c r="AS32" s="44"/>
      <c r="AT32" s="44"/>
    </row>
    <row r="33" spans="1:45" ht="18" customHeight="1" x14ac:dyDescent="0.2">
      <c r="A33" s="46"/>
      <c r="B33" s="47"/>
      <c r="C33" s="47"/>
      <c r="D33" s="47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9"/>
      <c r="AF33" s="50"/>
      <c r="AG33" s="51"/>
      <c r="AH33" s="51"/>
      <c r="AI33" s="51"/>
      <c r="AJ33" s="52"/>
      <c r="AK33" s="53"/>
      <c r="AL33" s="54"/>
      <c r="AM33" s="54"/>
      <c r="AN33" s="55"/>
      <c r="AO33" s="56"/>
      <c r="AP33" s="57"/>
      <c r="AQ33" s="57"/>
      <c r="AR33" s="47"/>
      <c r="AS33" s="47"/>
    </row>
    <row r="34" spans="1:45" s="3" customFormat="1" ht="18" customHeight="1" thickBot="1" x14ac:dyDescent="0.25">
      <c r="A34" s="58"/>
      <c r="B34" s="59"/>
      <c r="C34" s="59"/>
      <c r="D34" s="59"/>
      <c r="E34" s="60">
        <f t="shared" ref="E34:AK34" si="6">SUBTOTAL(9,E5:E33)</f>
        <v>0</v>
      </c>
      <c r="F34" s="60">
        <f t="shared" si="6"/>
        <v>0</v>
      </c>
      <c r="G34" s="60">
        <f t="shared" si="6"/>
        <v>0</v>
      </c>
      <c r="H34" s="60">
        <f t="shared" si="6"/>
        <v>0</v>
      </c>
      <c r="I34" s="60">
        <f t="shared" si="6"/>
        <v>0</v>
      </c>
      <c r="J34" s="60">
        <f t="shared" si="6"/>
        <v>0</v>
      </c>
      <c r="K34" s="60">
        <f t="shared" si="6"/>
        <v>0</v>
      </c>
      <c r="L34" s="60">
        <f t="shared" si="6"/>
        <v>0</v>
      </c>
      <c r="M34" s="60">
        <f t="shared" si="6"/>
        <v>0</v>
      </c>
      <c r="N34" s="60">
        <f t="shared" si="6"/>
        <v>0</v>
      </c>
      <c r="O34" s="60">
        <f t="shared" si="6"/>
        <v>0</v>
      </c>
      <c r="P34" s="60">
        <f t="shared" si="6"/>
        <v>0</v>
      </c>
      <c r="Q34" s="60">
        <f t="shared" si="6"/>
        <v>0</v>
      </c>
      <c r="R34" s="60">
        <f t="shared" si="6"/>
        <v>0</v>
      </c>
      <c r="S34" s="60">
        <f t="shared" si="6"/>
        <v>0</v>
      </c>
      <c r="T34" s="60">
        <f t="shared" si="6"/>
        <v>0</v>
      </c>
      <c r="U34" s="60">
        <f t="shared" si="6"/>
        <v>0</v>
      </c>
      <c r="V34" s="60">
        <f t="shared" si="6"/>
        <v>0</v>
      </c>
      <c r="W34" s="60">
        <f t="shared" si="6"/>
        <v>0</v>
      </c>
      <c r="X34" s="60">
        <f t="shared" si="6"/>
        <v>0</v>
      </c>
      <c r="Y34" s="60">
        <f t="shared" si="6"/>
        <v>0</v>
      </c>
      <c r="Z34" s="60">
        <f t="shared" si="6"/>
        <v>0</v>
      </c>
      <c r="AA34" s="60">
        <f t="shared" si="6"/>
        <v>0</v>
      </c>
      <c r="AB34" s="60">
        <f t="shared" si="6"/>
        <v>0</v>
      </c>
      <c r="AC34" s="60">
        <f t="shared" si="6"/>
        <v>0</v>
      </c>
      <c r="AD34" s="60">
        <f t="shared" si="6"/>
        <v>0</v>
      </c>
      <c r="AE34" s="60">
        <f>SUBTOTAL(9,AE5:AE33)</f>
        <v>0</v>
      </c>
      <c r="AF34" s="60">
        <f t="shared" si="6"/>
        <v>0</v>
      </c>
      <c r="AG34" s="60">
        <f t="shared" si="6"/>
        <v>0</v>
      </c>
      <c r="AH34" s="60">
        <f t="shared" si="6"/>
        <v>0</v>
      </c>
      <c r="AI34" s="60">
        <f t="shared" si="6"/>
        <v>0</v>
      </c>
      <c r="AJ34" s="60">
        <f t="shared" si="6"/>
        <v>0</v>
      </c>
      <c r="AK34" s="60">
        <f t="shared" si="6"/>
        <v>0</v>
      </c>
      <c r="AL34" s="60"/>
      <c r="AM34" s="60"/>
      <c r="AN34" s="60"/>
      <c r="AO34" s="61"/>
      <c r="AP34" s="60"/>
      <c r="AQ34" s="60"/>
      <c r="AR34" s="59"/>
      <c r="AS34" s="59"/>
    </row>
    <row r="35" spans="1:45" ht="18" customHeight="1" thickTop="1" x14ac:dyDescent="0.2"/>
  </sheetData>
  <autoFilter ref="A4:AQ33" xr:uid="{00000000-0001-0000-0000-000000000000}"/>
  <pageMargins left="0.26" right="0.36" top="0.75" bottom="0.75" header="0.3" footer="0.3"/>
  <pageSetup paperSize="9" scale="1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Accrue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Panjaporn Sukanyanapanya</dc:creator>
  <cp:lastModifiedBy>Panjaporn Sukanyanapanya</cp:lastModifiedBy>
  <dcterms:created xsi:type="dcterms:W3CDTF">2026-06-06T13:14:05Z</dcterms:created>
  <dcterms:modified xsi:type="dcterms:W3CDTF">2026-06-06T13:14:50Z</dcterms:modified>
</cp:coreProperties>
</file>